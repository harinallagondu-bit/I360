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nalysis" sheetId="1" state="visible" r:id="rId3"/>
    <sheet name="Chart" sheetId="2" state="visible" r:id="rId4"/>
    <sheet name="Summary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<sst xmlns="http://schemas.openxmlformats.org/spreadsheetml/2006/main" count="67" uniqueCount="52">
  <si>
    <t xml:space="preserve">MONTHLY OPERATIONS REVIEW — BRANCH PERFORMANCE ANALYSIS</t>
  </si>
  <si>
    <t xml:space="preserve">Submitted by: Harinath Reddy Nallagondu  |  i360technologies Data Analyst Assessment  |  May 2026</t>
  </si>
  <si>
    <t xml:space="preserve">SECTION 1 — PROFITABILITY ANALYSIS</t>
  </si>
  <si>
    <t xml:space="preserve">Branch</t>
  </si>
  <si>
    <t xml:space="preserve">Total Sales ($)</t>
  </si>
  <si>
    <t xml:space="preserve">Operating Cost ($)</t>
  </si>
  <si>
    <t xml:space="preserve">Net Profit ($)</t>
  </si>
  <si>
    <t xml:space="preserve">Profit Margin (%)</t>
  </si>
  <si>
    <t xml:space="preserve">Performance</t>
  </si>
  <si>
    <t xml:space="preserve">Sentiment Rank</t>
  </si>
  <si>
    <t xml:space="preserve">Branch A</t>
  </si>
  <si>
    <t xml:space="preserve">Moderate</t>
  </si>
  <si>
    <t xml:space="preserve">#2 — Good service</t>
  </si>
  <si>
    <t xml:space="preserve">Branch B</t>
  </si>
  <si>
    <t xml:space="preserve">Best Performer ★</t>
  </si>
  <si>
    <t xml:space="preserve">#1 — Best experience</t>
  </si>
  <si>
    <t xml:space="preserve">Branch C</t>
  </si>
  <si>
    <t xml:space="preserve">Needs Improvement ⚠</t>
  </si>
  <si>
    <t xml:space="preserve">#3 — Shipping issues</t>
  </si>
  <si>
    <t xml:space="preserve">TOTALS / AVERAGE</t>
  </si>
  <si>
    <t xml:space="preserve">SECTION 2 — SENTIMENT ANALYSIS RANKING</t>
  </si>
  <si>
    <t xml:space="preserve">Rank</t>
  </si>
  <si>
    <t xml:space="preserve">Customer Feedback</t>
  </si>
  <si>
    <t xml:space="preserve">🥇 #1</t>
  </si>
  <si>
    <t xml:space="preserve">Always has stock, friendly staff.</t>
  </si>
  <si>
    <t xml:space="preserve">Fully positive — no complaints raised</t>
  </si>
  <si>
    <t xml:space="preserve">🥈 #2</t>
  </si>
  <si>
    <t xml:space="preserve">Great service, but long queues.</t>
  </si>
  <si>
    <t xml:space="preserve">Strong service; queue is fixable</t>
  </si>
  <si>
    <t xml:space="preserve">🥉 #3</t>
  </si>
  <si>
    <t xml:space="preserve">Expensive shipping, slow delivery.</t>
  </si>
  <si>
    <t xml:space="preserve">Two pain points impacting loyalty</t>
  </si>
  <si>
    <t xml:space="preserve">SECTION 3 — BONUS CHALLENGE: BRANCH C COST REDUCTION (15%)</t>
  </si>
  <si>
    <t xml:space="preserve">Metric</t>
  </si>
  <si>
    <t xml:space="preserve">Current Value</t>
  </si>
  <si>
    <t xml:space="preserve">After 15% Reduction</t>
  </si>
  <si>
    <t xml:space="preserve">Change</t>
  </si>
  <si>
    <t xml:space="preserve">Operating Cost</t>
  </si>
  <si>
    <t xml:space="preserve">Net Profit</t>
  </si>
  <si>
    <t xml:space="preserve">Profit Margin %</t>
  </si>
  <si>
    <t xml:space="preserve">EXECUTIVE SUMMARY DASHBOARD</t>
  </si>
  <si>
    <t xml:space="preserve">Best Profit Margin</t>
  </si>
  <si>
    <t xml:space="preserve">Total Net Profit</t>
  </si>
  <si>
    <t xml:space="preserve">Needs Improvement</t>
  </si>
  <si>
    <t xml:space="preserve">All Branches</t>
  </si>
  <si>
    <t xml:space="preserve">KEY RECOMMENDATIONS</t>
  </si>
  <si>
    <t xml:space="preserve">🏆 Performance Bonus</t>
  </si>
  <si>
    <t xml:space="preserve">Highest margin (45.5%), best costs, best customer feedback</t>
  </si>
  <si>
    <t xml:space="preserve">🔧 Process Improvement</t>
  </si>
  <si>
    <t xml:space="preserve">7.7% margin despite $52K sales — fix shipping &amp; reduce vendor costs</t>
  </si>
  <si>
    <t xml:space="preserve">💡 Bonus Insight</t>
  </si>
  <si>
    <t xml:space="preserve">A 15% cost cut raises margin from 7.7% → 21.5% (profit: $4K → $11.2K)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</si>
</sst>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\$#,##0"/>
    <numFmt numFmtId="166" formatCode="0.0%"/>
  </numFmts>
  <fonts count="3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i val="true"/>
      <sz val="10"/>
      <color rgb="FFFFFFFF"/>
      <name val="Arial"/>
      <family val="0"/>
      <charset val="1"/>
    </font>
    <font>
      <b val="true"/>
      <sz val="11"/>
      <color rgb="FF0D3B7A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1"/>
      <color rgb="FF000000"/>
      <name val="Arial"/>
      <family val="0"/>
      <charset val="1"/>
    </font>
    <font>
      <sz val="11"/>
      <color rgb="FF0000FF"/>
      <name val="Arial"/>
      <family val="0"/>
      <charset val="1"/>
    </font>
    <font>
      <sz val="11"/>
      <color rgb="FF000000"/>
      <name val="Arial"/>
      <family val="0"/>
      <charset val="1"/>
    </font>
    <font>
      <b val="true"/>
      <sz val="11"/>
      <color rgb="FF1A56A0"/>
      <name val="Arial"/>
      <family val="0"/>
      <charset val="1"/>
    </font>
    <font>
      <sz val="11"/>
      <color rgb="FF1A56A0"/>
      <name val="Arial"/>
      <family val="0"/>
      <charset val="1"/>
    </font>
    <font>
      <b val="true"/>
      <sz val="11"/>
      <color rgb="FF1A7A4A"/>
      <name val="Arial"/>
      <family val="0"/>
      <charset val="1"/>
    </font>
    <font>
      <sz val="11"/>
      <color rgb="FF1A7A4A"/>
      <name val="Arial"/>
      <family val="0"/>
      <charset val="1"/>
    </font>
    <font>
      <b val="true"/>
      <sz val="11"/>
      <color rgb="FFB22222"/>
      <name val="Arial"/>
      <family val="0"/>
      <charset val="1"/>
    </font>
    <font>
      <sz val="11"/>
      <color rgb="FFB22222"/>
      <name val="Arial"/>
      <family val="0"/>
      <charset val="1"/>
    </font>
    <font>
      <sz val="11"/>
      <color rgb="FF333333"/>
      <name val="Arial"/>
      <family val="0"/>
      <charset val="1"/>
    </font>
    <font>
      <b val="true"/>
      <sz val="11"/>
      <color rgb="FFB87200"/>
      <name val="Arial"/>
      <family val="0"/>
      <charset val="1"/>
    </font>
    <font>
      <sz val="11"/>
      <color rgb="FFB87200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  <font>
      <b val="true"/>
      <sz val="10"/>
      <color rgb="FFFFFFFF"/>
      <name val="Arial"/>
      <family val="0"/>
      <charset val="1"/>
    </font>
    <font>
      <b val="true"/>
      <sz val="16"/>
      <color rgb="FF1A7A4A"/>
      <name val="Arial"/>
      <family val="0"/>
      <charset val="1"/>
    </font>
    <font>
      <b val="true"/>
      <sz val="16"/>
      <color rgb="FF1A56A0"/>
      <name val="Arial"/>
      <family val="0"/>
      <charset val="1"/>
    </font>
    <font>
      <b val="true"/>
      <sz val="16"/>
      <color rgb="FFB22222"/>
      <name val="Arial"/>
      <family val="0"/>
      <charset val="1"/>
    </font>
    <font>
      <i val="true"/>
      <sz val="10"/>
      <color rgb="FF1A7A4A"/>
      <name val="Arial"/>
      <family val="0"/>
      <charset val="1"/>
    </font>
    <font>
      <i val="true"/>
      <sz val="10"/>
      <color rgb="FF1A56A0"/>
      <name val="Arial"/>
      <family val="0"/>
      <charset val="1"/>
    </font>
    <font>
      <i val="true"/>
      <sz val="10"/>
      <color rgb="FFB22222"/>
      <name val="Arial"/>
      <family val="0"/>
      <charset val="1"/>
    </font>
    <font>
      <b val="true"/>
      <sz val="10"/>
      <color rgb="FF1A7A4A"/>
      <name val="Arial"/>
      <family val="0"/>
      <charset val="1"/>
    </font>
    <font>
      <sz val="10"/>
      <color rgb="FF333333"/>
      <name val="Arial"/>
      <family val="0"/>
      <charset val="1"/>
    </font>
    <font>
      <b val="true"/>
      <sz val="10"/>
      <color rgb="FFB22222"/>
      <name val="Arial"/>
      <family val="0"/>
      <charset val="1"/>
    </font>
    <font>
      <b val="true"/>
      <sz val="10"/>
      <color rgb="FFB87200"/>
      <name val="Arial"/>
      <family val="0"/>
      <charset val="1"/>
    </font>
  </fonts>
  <fills count="13">
    <fill>
      <patternFill patternType="none"/>
    </fill>
    <fill>
      <patternFill patternType="gray125"/>
    </fill>
    <fill>
      <patternFill patternType="solid">
        <fgColor rgb="FF0D3B7A"/>
        <bgColor rgb="FF333399"/>
      </patternFill>
    </fill>
    <fill>
      <patternFill patternType="solid">
        <fgColor rgb="FF1A56A0"/>
        <bgColor rgb="FF0D3B7A"/>
      </patternFill>
    </fill>
    <fill>
      <patternFill patternType="solid">
        <fgColor rgb="FFD6E4F7"/>
        <bgColor rgb="FFD9D9D9"/>
      </patternFill>
    </fill>
    <fill>
      <patternFill patternType="solid">
        <fgColor rgb="FFE8F0FC"/>
        <bgColor rgb="FFE6F4EC"/>
      </patternFill>
    </fill>
    <fill>
      <patternFill patternType="solid">
        <fgColor rgb="FFFFFFFF"/>
        <bgColor rgb="FFFFF8E6"/>
      </patternFill>
    </fill>
    <fill>
      <patternFill patternType="solid">
        <fgColor rgb="FFE6F4EC"/>
        <bgColor rgb="FFE8F0FC"/>
      </patternFill>
    </fill>
    <fill>
      <patternFill patternType="solid">
        <fgColor rgb="FFFDECEA"/>
        <bgColor rgb="FFF5F5F5"/>
      </patternFill>
    </fill>
    <fill>
      <patternFill patternType="solid">
        <fgColor rgb="FFFFF8E6"/>
        <bgColor rgb="FFF5F5F5"/>
      </patternFill>
    </fill>
    <fill>
      <patternFill patternType="solid">
        <fgColor rgb="FFF5F5F5"/>
        <bgColor rgb="FFFFF8E6"/>
      </patternFill>
    </fill>
    <fill>
      <patternFill patternType="solid">
        <fgColor rgb="FF1A7A4A"/>
        <bgColor rgb="FF008080"/>
      </patternFill>
    </fill>
    <fill>
      <patternFill patternType="solid">
        <fgColor rgb="FFB22222"/>
        <bgColor rgb="FF99336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9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0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0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7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0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0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8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0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0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7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7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7" fillId="7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4" fillId="7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8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9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7" fillId="9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9" fillId="9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5" fillId="8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7" fillId="8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6" fillId="8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1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3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9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3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0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0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3" fillId="1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3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3" fillId="1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24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25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26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7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8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9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0" fillId="7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30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1" fillId="7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32" fillId="8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32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1" fillId="8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33" fillId="9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33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1" fillId="9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B87200"/>
      <rgbColor rgb="FF800080"/>
      <rgbColor rgb="FF1A7A4A"/>
      <rgbColor rgb="FFC0C0C0"/>
      <rgbColor rgb="FF878787"/>
      <rgbColor rgb="FF9999FF"/>
      <rgbColor rgb="FF993366"/>
      <rgbColor rgb="FFFFF8E6"/>
      <rgbColor rgb="FFE6F4EC"/>
      <rgbColor rgb="FF660066"/>
      <rgbColor rgb="FFFF8080"/>
      <rgbColor rgb="FF1A56A0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8F0FC"/>
      <rgbColor rgb="FFD6E4F7"/>
      <rgbColor rgb="FFFDECEA"/>
      <rgbColor rgb="FF99CCFF"/>
      <rgbColor rgb="FFFF99CC"/>
      <rgbColor rgb="FFCC99FF"/>
      <rgbColor rgb="FFF5F5F5"/>
      <rgbColor rgb="FF3366FF"/>
      <rgbColor rgb="FF33CCCC"/>
      <rgbColor rgb="FF99CC00"/>
      <rgbColor rgb="FFFFCC00"/>
      <rgbColor rgb="FFFF9900"/>
      <rgbColor rgb="FFFF6600"/>
      <rgbColor rgb="FF4F81BD"/>
      <rgbColor rgb="FF969696"/>
      <rgbColor rgb="FF0D3B7A"/>
      <rgbColor rgb="FF1D9E75"/>
      <rgbColor rgb="FF003300"/>
      <rgbColor rgb="FF333300"/>
      <rgbColor rgb="FFB22222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Net Profit by Branch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Chart!B1</c:f>
              <c:strCache>
                <c:ptCount val="1"/>
                <c:pt idx="0">
                  <c:v>Net Profit ($)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Chart!$A$2:$A$4</c:f>
              <c:strCache>
                <c:ptCount val="3"/>
                <c:pt idx="0">
                  <c:v>Branch A</c:v>
                </c:pt>
                <c:pt idx="1">
                  <c:v>Branch B</c:v>
                </c:pt>
                <c:pt idx="2">
                  <c:v>Branch C</c:v>
                </c:pt>
              </c:strCache>
            </c:strRef>
          </c:cat>
          <c:val>
            <c:numRef>
              <c:f>Chart!$B$2:$B$4</c:f>
              <c:numCache>
                <c:formatCode>\$#,##0</c:formatCode>
                <c:ptCount val="3"/>
                <c:pt idx="0">
                  <c:v>13000</c:v>
                </c:pt>
                <c:pt idx="1">
                  <c:v>17500</c:v>
                </c:pt>
                <c:pt idx="2">
                  <c:v>4000</c:v>
                </c:pt>
              </c:numCache>
            </c:numRef>
          </c:val>
        </c:ser>
        <c:gapWidth val="150"/>
        <c:overlap val="0"/>
        <c:axId val="81882284"/>
        <c:axId val="69207457"/>
      </c:barChart>
      <c:catAx>
        <c:axId val="81882284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Branch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9207457"/>
        <c:crosses val="autoZero"/>
        <c:auto val="1"/>
        <c:lblAlgn val="ctr"/>
        <c:lblOffset val="100"/>
        <c:noMultiLvlLbl val="0"/>
      </c:catAx>
      <c:valAx>
        <c:axId val="69207457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Net Profit ($)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$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1882284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4</xdr:col>
      <xdr:colOff>0</xdr:colOff>
      <xdr:row>1</xdr:row>
      <xdr:rowOff>0</xdr:rowOff>
    </xdr:from>
    <xdr:to>
      <xdr:col>14</xdr:col>
      <xdr:colOff>364680</xdr:colOff>
      <xdr:row>22</xdr:row>
      <xdr:rowOff>147600</xdr:rowOff>
    </xdr:to>
    <xdr:graphicFrame>
      <xdr:nvGraphicFramePr>
        <xdr:cNvPr id="0" name="Chart 1"/>
        <xdr:cNvGraphicFramePr/>
      </xdr:nvGraphicFramePr>
      <xdr:xfrm>
        <a:off x="4276800" y="190440"/>
        <a:ext cx="6479640" cy="43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A56A0"/>
    <pageSetUpPr fitToPage="false"/>
  </sheetPr>
  <dimension ref="A1:G2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8"/>
    <col collapsed="false" customWidth="true" hidden="false" outlineLevel="0" max="3" min="3" style="0" width="20"/>
    <col collapsed="false" customWidth="true" hidden="false" outlineLevel="0" max="4" min="4" style="0" width="16"/>
    <col collapsed="false" customWidth="true" hidden="false" outlineLevel="0" max="5" min="5" style="0" width="18"/>
    <col collapsed="false" customWidth="true" hidden="false" outlineLevel="0" max="6" min="6" style="0" width="22"/>
    <col collapsed="false" customWidth="true" hidden="false" outlineLevel="0" max="7" min="7" style="0" width="24"/>
  </cols>
  <sheetData>
    <row r="1" customFormat="false" ht="31.5" hidden="false" customHeight="true" outlineLevel="0" collapsed="false">
      <c r="A1" s="1" t="s">
        <v>0</v>
      </c>
      <c r="B1" s="1"/>
      <c r="C1" s="1"/>
      <c r="D1" s="1"/>
      <c r="E1" s="1"/>
      <c r="F1" s="1"/>
      <c r="G1" s="1"/>
    </row>
    <row r="2" customFormat="false" ht="19.5" hidden="false" customHeight="true" outlineLevel="0" collapsed="false">
      <c r="A2" s="2" t="s">
        <v>1</v>
      </c>
      <c r="B2" s="2"/>
      <c r="C2" s="2"/>
      <c r="D2" s="2"/>
      <c r="E2" s="2"/>
      <c r="F2" s="2"/>
      <c r="G2" s="2"/>
    </row>
    <row r="3" customFormat="false" ht="9.75" hidden="false" customHeight="true" outlineLevel="0" collapsed="false"/>
    <row r="4" customFormat="false" ht="19.5" hidden="false" customHeight="true" outlineLevel="0" collapsed="false">
      <c r="A4" s="3" t="s">
        <v>2</v>
      </c>
      <c r="B4" s="3"/>
      <c r="C4" s="3"/>
      <c r="D4" s="3"/>
      <c r="E4" s="3"/>
      <c r="F4" s="3"/>
      <c r="G4" s="3"/>
    </row>
    <row r="5" customFormat="false" ht="36" hidden="false" customHeight="true" outlineLevel="0" collapsed="false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</row>
    <row r="6" customFormat="false" ht="21.75" hidden="false" customHeight="true" outlineLevel="0" collapsed="false">
      <c r="A6" s="5" t="s">
        <v>10</v>
      </c>
      <c r="B6" s="6" t="n">
        <v>45000</v>
      </c>
      <c r="C6" s="6" t="n">
        <v>32000</v>
      </c>
      <c r="D6" s="7" t="n">
        <f aca="false">B6-C6</f>
        <v>13000</v>
      </c>
      <c r="E6" s="8" t="n">
        <f aca="false">D6/B6</f>
        <v>0.288888888888889</v>
      </c>
      <c r="F6" s="9" t="s">
        <v>11</v>
      </c>
      <c r="G6" s="10" t="s">
        <v>12</v>
      </c>
    </row>
    <row r="7" customFormat="false" ht="21.75" hidden="false" customHeight="true" outlineLevel="0" collapsed="false">
      <c r="A7" s="11" t="s">
        <v>13</v>
      </c>
      <c r="B7" s="6" t="n">
        <v>38500</v>
      </c>
      <c r="C7" s="6" t="n">
        <v>21000</v>
      </c>
      <c r="D7" s="12" t="n">
        <f aca="false">B7-C7</f>
        <v>17500</v>
      </c>
      <c r="E7" s="13" t="n">
        <f aca="false">D7/B7</f>
        <v>0.454545454545455</v>
      </c>
      <c r="F7" s="14" t="s">
        <v>14</v>
      </c>
      <c r="G7" s="15" t="s">
        <v>15</v>
      </c>
    </row>
    <row r="8" customFormat="false" ht="21.75" hidden="false" customHeight="true" outlineLevel="0" collapsed="false">
      <c r="A8" s="16" t="s">
        <v>16</v>
      </c>
      <c r="B8" s="6" t="n">
        <v>52000</v>
      </c>
      <c r="C8" s="6" t="n">
        <v>48000</v>
      </c>
      <c r="D8" s="17" t="n">
        <f aca="false">B8-C8</f>
        <v>4000</v>
      </c>
      <c r="E8" s="18" t="n">
        <f aca="false">D8/B8</f>
        <v>0.0769230769230769</v>
      </c>
      <c r="F8" s="19" t="s">
        <v>17</v>
      </c>
      <c r="G8" s="20" t="s">
        <v>18</v>
      </c>
    </row>
    <row r="9" customFormat="false" ht="21.75" hidden="false" customHeight="true" outlineLevel="0" collapsed="false">
      <c r="A9" s="21" t="s">
        <v>19</v>
      </c>
      <c r="B9" s="22" t="n">
        <f aca="false">SUM(B6:B8)</f>
        <v>135500</v>
      </c>
      <c r="C9" s="22" t="n">
        <f aca="false">SUM(C6:C8)</f>
        <v>101000</v>
      </c>
      <c r="D9" s="22" t="n">
        <f aca="false">SUM(D6:D8)</f>
        <v>34500</v>
      </c>
      <c r="E9" s="23" t="n">
        <f aca="false">AVERAGE(E6:E8)</f>
        <v>0.273452473452473</v>
      </c>
      <c r="F9" s="24"/>
      <c r="G9" s="24"/>
    </row>
    <row r="10" customFormat="false" ht="9.75" hidden="false" customHeight="true" outlineLevel="0" collapsed="false"/>
    <row r="11" customFormat="false" ht="19.5" hidden="false" customHeight="true" outlineLevel="0" collapsed="false">
      <c r="A11" s="3" t="s">
        <v>20</v>
      </c>
      <c r="B11" s="3"/>
      <c r="C11" s="3"/>
      <c r="D11" s="3"/>
      <c r="E11" s="3"/>
      <c r="F11" s="3"/>
      <c r="G11" s="3"/>
    </row>
    <row r="12" customFormat="false" ht="27.75" hidden="false" customHeight="true" outlineLevel="0" collapsed="false">
      <c r="A12" s="4" t="s">
        <v>21</v>
      </c>
      <c r="B12" s="4" t="s">
        <v>3</v>
      </c>
      <c r="C12" s="4" t="s">
        <v>22</v>
      </c>
      <c r="D12" s="4"/>
      <c r="E12" s="25"/>
      <c r="F12" s="25"/>
      <c r="G12" s="25"/>
    </row>
    <row r="13" customFormat="false" ht="21.75" hidden="false" customHeight="true" outlineLevel="0" collapsed="false">
      <c r="A13" s="14" t="s">
        <v>23</v>
      </c>
      <c r="B13" s="26" t="s">
        <v>13</v>
      </c>
      <c r="C13" s="27" t="s">
        <v>24</v>
      </c>
      <c r="D13" s="27"/>
      <c r="E13" s="28" t="s">
        <v>25</v>
      </c>
      <c r="F13" s="28"/>
      <c r="G13" s="28"/>
    </row>
    <row r="14" customFormat="false" ht="21.75" hidden="false" customHeight="true" outlineLevel="0" collapsed="false">
      <c r="A14" s="29" t="s">
        <v>26</v>
      </c>
      <c r="B14" s="30" t="s">
        <v>10</v>
      </c>
      <c r="C14" s="31" t="s">
        <v>27</v>
      </c>
      <c r="D14" s="31"/>
      <c r="E14" s="32" t="s">
        <v>28</v>
      </c>
      <c r="F14" s="32"/>
      <c r="G14" s="32"/>
    </row>
    <row r="15" customFormat="false" ht="21.75" hidden="false" customHeight="true" outlineLevel="0" collapsed="false">
      <c r="A15" s="19" t="s">
        <v>29</v>
      </c>
      <c r="B15" s="33" t="s">
        <v>16</v>
      </c>
      <c r="C15" s="34" t="s">
        <v>30</v>
      </c>
      <c r="D15" s="34"/>
      <c r="E15" s="35" t="s">
        <v>31</v>
      </c>
      <c r="F15" s="35"/>
      <c r="G15" s="35"/>
    </row>
    <row r="16" customFormat="false" ht="9.75" hidden="false" customHeight="true" outlineLevel="0" collapsed="false"/>
    <row r="17" customFormat="false" ht="19.5" hidden="false" customHeight="true" outlineLevel="0" collapsed="false">
      <c r="A17" s="3" t="s">
        <v>32</v>
      </c>
      <c r="B17" s="3"/>
      <c r="C17" s="3"/>
      <c r="D17" s="3"/>
      <c r="E17" s="3"/>
      <c r="F17" s="3"/>
      <c r="G17" s="3"/>
    </row>
    <row r="18" customFormat="false" ht="27.75" hidden="false" customHeight="true" outlineLevel="0" collapsed="false">
      <c r="A18" s="4" t="s">
        <v>33</v>
      </c>
      <c r="B18" s="4" t="s">
        <v>34</v>
      </c>
      <c r="C18" s="4" t="s">
        <v>35</v>
      </c>
      <c r="D18" s="4" t="s">
        <v>36</v>
      </c>
      <c r="E18" s="4"/>
      <c r="F18" s="4"/>
      <c r="G18" s="4"/>
    </row>
    <row r="19" customFormat="false" ht="21.75" hidden="false" customHeight="true" outlineLevel="0" collapsed="false">
      <c r="A19" s="36" t="s">
        <v>37</v>
      </c>
      <c r="B19" s="6" t="n">
        <v>48000</v>
      </c>
      <c r="C19" s="12" t="n">
        <f aca="false">B19*0.85</f>
        <v>40800</v>
      </c>
      <c r="D19" s="37" t="n">
        <f aca="false">B19*0.15*-1</f>
        <v>-7200</v>
      </c>
      <c r="E19" s="37"/>
      <c r="F19" s="37"/>
      <c r="G19" s="37"/>
    </row>
    <row r="20" customFormat="false" ht="21.75" hidden="false" customHeight="true" outlineLevel="0" collapsed="false">
      <c r="A20" s="36" t="s">
        <v>38</v>
      </c>
      <c r="B20" s="6" t="n">
        <v>4000</v>
      </c>
      <c r="C20" s="12" t="n">
        <f aca="false">52000-C19</f>
        <v>11200</v>
      </c>
      <c r="D20" s="37" t="n">
        <f aca="false">C20-B20</f>
        <v>7200</v>
      </c>
      <c r="E20" s="37"/>
      <c r="F20" s="37"/>
      <c r="G20" s="37"/>
    </row>
    <row r="21" customFormat="false" ht="21.75" hidden="false" customHeight="true" outlineLevel="0" collapsed="false">
      <c r="A21" s="36" t="s">
        <v>39</v>
      </c>
      <c r="B21" s="38" t="n">
        <f aca="false">B20/52000</f>
        <v>0.0769230769230769</v>
      </c>
      <c r="C21" s="13" t="n">
        <f aca="false">C20/52000</f>
        <v>0.215384615384615</v>
      </c>
      <c r="D21" s="39" t="n">
        <f aca="false">C21-B21</f>
        <v>0.138461538461538</v>
      </c>
      <c r="E21" s="39"/>
      <c r="F21" s="39"/>
      <c r="G21" s="39"/>
    </row>
  </sheetData>
  <mergeCells count="17">
    <mergeCell ref="A1:G1"/>
    <mergeCell ref="A2:G2"/>
    <mergeCell ref="A4:G4"/>
    <mergeCell ref="A11:G11"/>
    <mergeCell ref="C12:D12"/>
    <mergeCell ref="E12:G12"/>
    <mergeCell ref="C13:D13"/>
    <mergeCell ref="E13:G13"/>
    <mergeCell ref="C14:D14"/>
    <mergeCell ref="E14:G14"/>
    <mergeCell ref="C15:D15"/>
    <mergeCell ref="E15:G15"/>
    <mergeCell ref="A17:G17"/>
    <mergeCell ref="D18:G18"/>
    <mergeCell ref="D19:G19"/>
    <mergeCell ref="D20:G20"/>
    <mergeCell ref="D21:G2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D9E75"/>
    <pageSetUpPr fitToPage="false"/>
  </sheetPr>
  <dimension ref="A1:C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3" min="2" style="0" width="18"/>
  </cols>
  <sheetData>
    <row r="1" customFormat="false" ht="15" hidden="false" customHeight="false" outlineLevel="0" collapsed="false">
      <c r="A1" s="40" t="s">
        <v>3</v>
      </c>
      <c r="B1" s="40" t="s">
        <v>6</v>
      </c>
      <c r="C1" s="40" t="s">
        <v>7</v>
      </c>
    </row>
    <row r="2" customFormat="false" ht="19.5" hidden="false" customHeight="true" outlineLevel="0" collapsed="false">
      <c r="A2" s="41" t="s">
        <v>10</v>
      </c>
      <c r="B2" s="42" t="n">
        <f aca="false">Analysis!D6</f>
        <v>13000</v>
      </c>
      <c r="C2" s="43" t="n">
        <f aca="false">Analysis!E6</f>
        <v>0.288888888888889</v>
      </c>
    </row>
    <row r="3" customFormat="false" ht="19.5" hidden="false" customHeight="true" outlineLevel="0" collapsed="false">
      <c r="A3" s="41" t="s">
        <v>13</v>
      </c>
      <c r="B3" s="42" t="n">
        <f aca="false">Analysis!D7</f>
        <v>17500</v>
      </c>
      <c r="C3" s="43" t="n">
        <f aca="false">Analysis!E7</f>
        <v>0.454545454545455</v>
      </c>
    </row>
    <row r="4" customFormat="false" ht="19.5" hidden="false" customHeight="true" outlineLevel="0" collapsed="false">
      <c r="A4" s="41" t="s">
        <v>16</v>
      </c>
      <c r="B4" s="42" t="n">
        <f aca="false">Analysis!D8</f>
        <v>4000</v>
      </c>
      <c r="C4" s="43" t="n">
        <f aca="false">Analysis!E8</f>
        <v>0.0769230769230769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D3B7A"/>
    <pageSetUpPr fitToPage="false"/>
  </sheetPr>
  <dimension ref="A1:F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6"/>
    <col collapsed="false" customWidth="true" hidden="false" outlineLevel="0" max="3" min="3" style="0" width="40"/>
    <col collapsed="false" customWidth="true" hidden="false" outlineLevel="0" max="6" min="4" style="0" width="14"/>
  </cols>
  <sheetData>
    <row r="1" customFormat="false" ht="31.5" hidden="false" customHeight="true" outlineLevel="0" collapsed="false">
      <c r="A1" s="1" t="s">
        <v>40</v>
      </c>
      <c r="B1" s="1"/>
      <c r="C1" s="1"/>
      <c r="D1" s="1"/>
      <c r="E1" s="1"/>
      <c r="F1" s="1"/>
    </row>
    <row r="3" customFormat="false" ht="13.5" hidden="false" customHeight="true" outlineLevel="0" collapsed="false"/>
    <row r="4" customFormat="false" ht="27.75" hidden="false" customHeight="true" outlineLevel="0" collapsed="false">
      <c r="A4" s="44" t="s">
        <v>41</v>
      </c>
      <c r="B4" s="44"/>
      <c r="C4" s="45" t="s">
        <v>42</v>
      </c>
      <c r="D4" s="45"/>
      <c r="E4" s="46" t="s">
        <v>43</v>
      </c>
      <c r="F4" s="46"/>
    </row>
    <row r="5" customFormat="false" ht="21.75" hidden="false" customHeight="true" outlineLevel="0" collapsed="false">
      <c r="A5" s="47" t="n">
        <f aca="false">Analysis!E7</f>
        <v>0.454545454545455</v>
      </c>
      <c r="B5" s="47"/>
      <c r="C5" s="48" t="n">
        <f aca="false">SUM(Analysis!D6:D8)</f>
        <v>34500</v>
      </c>
      <c r="D5" s="48"/>
      <c r="E5" s="49" t="n">
        <f aca="false">Analysis!E8</f>
        <v>0.0769230769230769</v>
      </c>
      <c r="F5" s="49"/>
    </row>
    <row r="6" customFormat="false" ht="21.75" hidden="false" customHeight="true" outlineLevel="0" collapsed="false">
      <c r="A6" s="50" t="s">
        <v>13</v>
      </c>
      <c r="B6" s="50"/>
      <c r="C6" s="51" t="s">
        <v>44</v>
      </c>
      <c r="D6" s="51"/>
      <c r="E6" s="52" t="s">
        <v>16</v>
      </c>
      <c r="F6" s="52"/>
    </row>
    <row r="8" customFormat="false" ht="13.5" hidden="false" customHeight="true" outlineLevel="0" collapsed="false"/>
    <row r="9" customFormat="false" ht="19.5" hidden="false" customHeight="true" outlineLevel="0" collapsed="false">
      <c r="A9" s="3" t="s">
        <v>45</v>
      </c>
      <c r="B9" s="3"/>
      <c r="C9" s="3"/>
      <c r="D9" s="3"/>
      <c r="E9" s="3"/>
      <c r="F9" s="3"/>
    </row>
    <row r="10" customFormat="false" ht="21.75" hidden="false" customHeight="true" outlineLevel="0" collapsed="false">
      <c r="A10" s="53" t="s">
        <v>46</v>
      </c>
      <c r="B10" s="54" t="s">
        <v>13</v>
      </c>
      <c r="C10" s="55" t="s">
        <v>47</v>
      </c>
      <c r="D10" s="55"/>
      <c r="E10" s="55"/>
      <c r="F10" s="55"/>
    </row>
    <row r="11" customFormat="false" ht="21.75" hidden="false" customHeight="true" outlineLevel="0" collapsed="false">
      <c r="A11" s="56" t="s">
        <v>48</v>
      </c>
      <c r="B11" s="57" t="s">
        <v>16</v>
      </c>
      <c r="C11" s="58" t="s">
        <v>49</v>
      </c>
      <c r="D11" s="58"/>
      <c r="E11" s="58"/>
      <c r="F11" s="58"/>
    </row>
    <row r="12" customFormat="false" ht="21.75" hidden="false" customHeight="true" outlineLevel="0" collapsed="false">
      <c r="A12" s="59" t="s">
        <v>50</v>
      </c>
      <c r="B12" s="60" t="s">
        <v>16</v>
      </c>
      <c r="C12" s="61" t="s">
        <v>51</v>
      </c>
      <c r="D12" s="61"/>
      <c r="E12" s="61"/>
      <c r="F12" s="61"/>
    </row>
  </sheetData>
  <mergeCells count="14">
    <mergeCell ref="A1:F1"/>
    <mergeCell ref="A4:B4"/>
    <mergeCell ref="C4:D4"/>
    <mergeCell ref="E4:F4"/>
    <mergeCell ref="A5:B5"/>
    <mergeCell ref="C5:D5"/>
    <mergeCell ref="E5:F5"/>
    <mergeCell ref="A6:B6"/>
    <mergeCell ref="C6:D6"/>
    <mergeCell ref="E6:F6"/>
    <mergeCell ref="A9:F9"/>
    <mergeCell ref="C10:F10"/>
    <mergeCell ref="C11:F11"/>
    <mergeCell ref="C12:F1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2026-05-13T18:33:46Z</dcterms:created>
  <dc:creator>openpyxl</dc:creator>
  <dc:description/>
  <dc:language>en-US</dc:language>
  <cp:lastModifiedBy/>
  <dcterms:modified xsi:type="dcterms:W3CDTF">2026-05-13T18:33:50Z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